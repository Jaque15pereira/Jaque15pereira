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AQUE\Desktop\Bootcamp\Planilha Finaneira\"/>
    </mc:Choice>
  </mc:AlternateContent>
  <xr:revisionPtr revIDLastSave="0" documentId="13_ncr:1_{E701D201-0665-4FFF-9B21-DD0172FB905F}" xr6:coauthVersionLast="45" xr6:coauthVersionMax="45" xr10:uidLastSave="{00000000-0000-0000-0000-000000000000}"/>
  <bookViews>
    <workbookView xWindow="-120" yWindow="-120" windowWidth="20730" windowHeight="11160" tabRatio="0" firstSheet="3" activeTab="3" xr2:uid="{00000000-000D-0000-FFFF-FFFF00000000}"/>
  </bookViews>
  <sheets>
    <sheet name="Data" sheetId="2" state="hidden" r:id="rId1"/>
    <sheet name="Controler" sheetId="3" state="hidden" r:id="rId2"/>
    <sheet name="Caixinha" sheetId="5" state="hidden" r:id="rId3"/>
    <sheet name="Dashboard" sheetId="4" r:id="rId4"/>
  </sheets>
  <definedNames>
    <definedName name="SegmentaçãodeDados_MÊS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5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</calcChain>
</file>

<file path=xl/sharedStrings.xml><?xml version="1.0" encoding="utf-8"?>
<sst xmlns="http://schemas.openxmlformats.org/spreadsheetml/2006/main" count="262" uniqueCount="84">
  <si>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</si>
  <si>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</si>
  <si>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</si>
  <si>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</si>
  <si>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</si>
  <si>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</si>
  <si>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</si>
  <si>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</si>
  <si>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</si>
  <si>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</si>
  <si>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</si>
  <si>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</si>
  <si>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</si>
  <si>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</si>
  <si>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</si>
  <si>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</si>
  <si>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</si>
  <si>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</si>
  <si>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</si>
  <si>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</si>
  <si>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</si>
  <si>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</si>
  <si>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</si>
  <si>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</si>
  <si>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</si>
  <si>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</si>
  <si>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</si>
  <si>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</si>
  <si>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</si>
  <si>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</si>
  <si>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</si>
  <si>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</si>
  <si>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</si>
  <si>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</si>
  <si>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</si>
  <si>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</si>
  <si>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</si>
  <si>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</si>
  <si>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</si>
  <si>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</si>
  <si>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</si>
  <si>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</si>
  <si>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</si>
  <si>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</si>
  <si>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</si>
  <si>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</si>
  <si>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</si>
  <si>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</si>
  <si>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</si>
  <si>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</si>
  <si>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</si>
  <si>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</si>
  <si>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</si>
  <si>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</si>
  <si>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</si>
  <si>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</si>
  <si>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</si>
  <si>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</si>
  <si>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</si>
  <si>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</si>
  <si>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</si>
  <si>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</si>
  <si>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</si>
  <si>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</si>
  <si>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</si>
  <si>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01/08/2024</t>
  </si>
  <si>
    <t>DATA</t>
  </si>
  <si>
    <t>TIPO</t>
  </si>
  <si>
    <t>CATEGORIA</t>
  </si>
  <si>
    <t>DESCRIÇÃO</t>
  </si>
  <si>
    <t>VALOR</t>
  </si>
  <si>
    <t>OPERAÇÃO BANCÁRIA</t>
  </si>
  <si>
    <t>STATUS</t>
  </si>
  <si>
    <t>Rótulos de Linha</t>
  </si>
  <si>
    <t>Soma de VALOR</t>
  </si>
  <si>
    <t>Total Geral</t>
  </si>
  <si>
    <r>
      <t xml:space="preserve">Valor de </t>
    </r>
    <r>
      <rPr>
        <b/>
        <sz val="11"/>
        <color theme="1"/>
        <rFont val="Calibri"/>
        <family val="2"/>
        <scheme val="minor"/>
      </rPr>
      <t>saída por categoria, sumarizado em reais</t>
    </r>
  </si>
  <si>
    <r>
      <t xml:space="preserve">Valor de entrada </t>
    </r>
    <r>
      <rPr>
        <b/>
        <sz val="11"/>
        <color theme="1"/>
        <rFont val="Calibri"/>
        <family val="2"/>
        <scheme val="minor"/>
      </rPr>
      <t>por categoria, sumarizado em reais</t>
    </r>
  </si>
  <si>
    <t>MÊS</t>
  </si>
  <si>
    <t>Data de Lançamento</t>
  </si>
  <si>
    <t>Depósito Reservado</t>
  </si>
  <si>
    <t/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</si>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</sst>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8" fontId="0" fillId="0" borderId="0" xfId="1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1" fontId="0" fillId="0" borderId="0" xfId="0" applyNumberFormat="1" applyAlignment="1">
      <alignment horizontal="center"/>
    </xf>
    <xf numFmtId="0" fontId="3" fillId="4" borderId="0" xfId="0" applyFont="1" applyFill="1"/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  <xf numFmtId="44" fontId="0" fillId="0" borderId="0" xfId="0" applyNumberFormat="1" applyAlignment="1">
      <alignment horizontal="center"/>
    </xf>
    <xf numFmtId="0" fontId="0" fillId="5" borderId="0" xfId="0" applyFill="1" applyAlignment="1">
      <alignment horizontal="left"/>
    </xf>
  </cellXfs>
  <cellStyles count="2">
    <cellStyle name="Moeda" xfId="1" builtinId="4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color theme="0"/>
      </font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rgb="FF336699"/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0"/>
      </font>
      <fill>
        <patternFill patternType="none">
          <fgColor indexed="64"/>
          <bgColor auto="1"/>
        </patternFill>
      </fill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>
          <fgColor rgb="FF336699"/>
        </patternFill>
      </fill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color theme="0"/>
      </font>
      <border>
        <bottom style="thin">
          <color rgb="FF4F81BD"/>
        </bottom>
        <vertical/>
        <horizontal/>
      </border>
    </dxf>
    <dxf>
      <font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bottom style="thin">
          <color rgb="FF4F81BD"/>
        </bottom>
        <vertical/>
        <horizontal/>
      </border>
    </dxf>
    <dxf>
      <font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bottom style="thin">
          <color rgb="FF4F81BD"/>
        </bottom>
        <vertical/>
        <horizontal/>
      </border>
    </dxf>
    <dxf>
      <font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>
          <bgColor theme="0" tint="-0.14996795556505021"/>
        </patternFill>
      </fill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color theme="0"/>
      </font>
      <border>
        <bottom style="thin">
          <color theme="8"/>
        </bottom>
        <vertical/>
        <horizontal/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</dxfs>
  <tableStyles count="10" defaultTableStyle="TableStyleMedium2" defaultPivotStyle="PivotStyleLight16">
    <tableStyle name="SlicerStyleLight5 2" pivot="0" table="0" count="10" xr9:uid="{B89C711B-8588-4C57-AFBA-1AF6547BF455}">
      <tableStyleElement type="wholeTable" dxfId="33"/>
      <tableStyleElement type="headerRow" dxfId="32"/>
    </tableStyle>
    <tableStyle name="SlicerStyleLight5 3" pivot="0" table="0" count="10" xr9:uid="{AB0D3866-011B-473C-940E-EE078313402D}">
      <tableStyleElement type="wholeTable" dxfId="31"/>
      <tableStyleElement type="headerRow" dxfId="30"/>
    </tableStyle>
    <tableStyle name="SlicerStyleOther2 2" pivot="0" table="0" count="10" xr9:uid="{B3CD8FC6-AAD3-4196-A1DE-A91B0D18B7AD}">
      <tableStyleElement type="wholeTable" dxfId="29"/>
      <tableStyleElement type="headerRow" dxfId="28"/>
    </tableStyle>
    <tableStyle name="SlicerStyleOther2 3" pivot="0" table="0" count="10" xr9:uid="{D4A88B2D-A696-4C52-953A-8FC335000674}">
      <tableStyleElement type="wholeTable" dxfId="27"/>
      <tableStyleElement type="headerRow" dxfId="26"/>
    </tableStyle>
    <tableStyle name="SlicerStyleOther2 4" pivot="0" table="0" count="10" xr9:uid="{C33AE1F6-FACA-44FA-8AFA-5FB89C98C645}">
      <tableStyleElement type="wholeTable" dxfId="25"/>
      <tableStyleElement type="headerRow" dxfId="24"/>
    </tableStyle>
    <tableStyle name="SlicerStyleOther2 5" pivot="0" table="0" count="10" xr9:uid="{BE6DE5A7-F3CB-4125-940B-5293F14F5872}">
      <tableStyleElement type="wholeTable" dxfId="23"/>
      <tableStyleElement type="headerRow" dxfId="22"/>
    </tableStyle>
    <tableStyle name="SlicerStyleOther2 6" pivot="0" table="0" count="10" xr9:uid="{0557C5AD-B01C-46B6-B114-43A18D9821E7}">
      <tableStyleElement type="wholeTable" dxfId="21"/>
      <tableStyleElement type="headerRow" dxfId="20"/>
    </tableStyle>
    <tableStyle name="SlicerStyleOther2 7" pivot="0" table="0" count="9" xr9:uid="{1EBA6DF6-C74B-4B1C-AC5C-9749AFA77221}">
      <tableStyleElement type="headerRow" dxfId="19"/>
    </tableStyle>
    <tableStyle name="SlicerStyleOther2 8" pivot="0" table="0" count="10" xr9:uid="{87844CCD-3E98-45B7-AEA9-A30F1943ECFC}">
      <tableStyleElement type="wholeTable" dxfId="18"/>
      <tableStyleElement type="headerRow" dxfId="17"/>
    </tableStyle>
    <tableStyle name="SlicerStyleOther2 8 2" pivot="0" table="0" count="10" xr9:uid="{E342F713-517D-4660-9253-BA7942807C2B}">
      <tableStyleElement type="wholeTable" dxfId="16"/>
      <tableStyleElement type="headerRow" dxfId="15"/>
    </tableStyle>
  </tableStyles>
  <colors>
    <mruColors>
      <color rgb="FF336699"/>
      <color rgb="FFECE9E8"/>
      <color rgb="FF003366"/>
      <color rgb="FF006666"/>
      <color rgb="FF990099"/>
      <color rgb="FF003399"/>
    </mruColors>
  </colors>
  <extLst>
    <ext xmlns:x14="http://schemas.microsoft.com/office/spreadsheetml/2009/9/main" uri="{46F421CA-312F-682f-3DD2-61675219B42D}">
      <x14:dxfs count="80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rgb="FF828282"/>
          </font>
          <fill>
            <patternFill patternType="solid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rgb="FF000000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8" tint="0.79995117038483843"/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Other2">
        <x14:slicerStyle name="SlicerStyleLight5 2">
          <x14:slicerStyleElements>
            <x14:slicerStyleElement type="unselectedItemWithData" dxfId="79"/>
            <x14:slicerStyleElement type="unselectedItemWithNoData" dxfId="78"/>
            <x14:slicerStyleElement type="selectedItemWithData" dxfId="77"/>
            <x14:slicerStyleElement type="selectedItemWithNoData" dxfId="76"/>
            <x14:slicerStyleElement type="hoveredUnselectedItemWithData" dxfId="75"/>
            <x14:slicerStyleElement type="hoveredSelectedItemWithData" dxfId="74"/>
            <x14:slicerStyleElement type="hoveredUnselectedItemWithNoData" dxfId="73"/>
            <x14:slicerStyleElement type="hoveredSelectedItemWithNoData" dxfId="72"/>
          </x14:slicerStyleElements>
        </x14:slicerStyle>
        <x14:slicerStyle name="SlicerStyleLight5 3">
          <x14:slicerStyleElements>
            <x14:slicerStyleElement type="unselectedItemWithData" dxfId="71"/>
            <x14:slicerStyleElement type="unselectedItemWithNoData" dxfId="70"/>
            <x14:slicerStyleElement type="selectedItemWithData" dxfId="69"/>
            <x14:slicerStyleElement type="selectedItemWithNoData" dxfId="68"/>
            <x14:slicerStyleElement type="hoveredUnselectedItemWithData" dxfId="67"/>
            <x14:slicerStyleElement type="hoveredSelectedItemWithData" dxfId="66"/>
            <x14:slicerStyleElement type="hoveredUnselectedItemWithNoData" dxfId="65"/>
            <x14:slicerStyleElement type="hoveredSelectedItemWithNoData" dxfId="64"/>
          </x14:slicerStyleElements>
        </x14:slicerStyle>
        <x14:slicerStyle name="SlicerStyleOther2 2">
          <x14:slicerStyleElements>
            <x14:slicerStyleElement type="unselectedItemWithData" dxfId="63"/>
            <x14:slicerStyleElement type="unselectedItemWithNoData" dxfId="62"/>
            <x14:slicerStyleElement type="selectedItemWithData" dxfId="61"/>
            <x14:slicerStyleElement type="selectedItemWithNoData" dxfId="60"/>
            <x14:slicerStyleElement type="hoveredUnselectedItemWithData" dxfId="59"/>
            <x14:slicerStyleElement type="hoveredSelectedItemWithData" dxfId="58"/>
            <x14:slicerStyleElement type="hoveredUnselectedItemWithNoData" dxfId="57"/>
            <x14:slicerStyleElement type="hoveredSelectedItemWithNoData" dxfId="56"/>
          </x14:slicerStyleElements>
        </x14:slicerStyle>
        <x14:slicerStyle name="SlicerStyleOther2 3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SlicerStyleOther2 4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StyleOther2 5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Other2 6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Other2 7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Other2 8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2 8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Entradas e Saídas.xlsx]Controler!TBL_Entrada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bg1"/>
              </a:gs>
              <a:gs pos="61000">
                <a:srgbClr val="336699"/>
              </a:gs>
              <a:gs pos="61000">
                <a:srgbClr val="336699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Controler!$G$4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61000">
                  <a:srgbClr val="336699"/>
                </a:gs>
                <a:gs pos="61000">
                  <a:srgbClr val="336699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Controler!$F$5:$F$7</c:f>
              <c:strCache>
                <c:ptCount val="2"/>
                <c:pt idx="0">
                  <c:v>Investimentos</c:v>
                </c:pt>
                <c:pt idx="1">
                  <c:v>Renda Fixa</c:v>
                </c:pt>
              </c:strCache>
            </c:strRef>
          </c:cat>
          <c:val>
            <c:numRef>
              <c:f>Controler!$G$5:$G$7</c:f>
              <c:numCache>
                <c:formatCode>"R$"\ #,##0.00</c:formatCode>
                <c:ptCount val="2"/>
                <c:pt idx="0">
                  <c:v>800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C-431B-8439-04D2C3239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90704"/>
        <c:axId val="172342672"/>
      </c:barChart>
      <c:catAx>
        <c:axId val="2709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342672"/>
        <c:crosses val="autoZero"/>
        <c:auto val="1"/>
        <c:lblAlgn val="ctr"/>
        <c:lblOffset val="100"/>
        <c:noMultiLvlLbl val="0"/>
      </c:catAx>
      <c:valAx>
        <c:axId val="17234267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709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Entradas e Saídas.xlsx]Controler!TBL_Saída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61000">
                <a:srgbClr val="336699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4.0483787567315334E-3"/>
          <c:w val="0.97578259531355949"/>
          <c:h val="0.79081802274715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Controler!$C$4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61000">
                  <a:srgbClr val="336699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Controler!$B$5:$B$19</c:f>
              <c:strCache>
                <c:ptCount val="14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Domésticas</c:v>
                </c:pt>
                <c:pt idx="12">
                  <c:v>Vestuário</c:v>
                </c:pt>
                <c:pt idx="13">
                  <c:v>Viagem</c:v>
                </c:pt>
              </c:strCache>
            </c:strRef>
          </c:cat>
          <c:val>
            <c:numRef>
              <c:f>Controler!$C$5:$C$19</c:f>
              <c:numCache>
                <c:formatCode>"R$"\ #,##0.00</c:formatCode>
                <c:ptCount val="14"/>
                <c:pt idx="0">
                  <c:v>550</c:v>
                </c:pt>
                <c:pt idx="1">
                  <c:v>80</c:v>
                </c:pt>
                <c:pt idx="2">
                  <c:v>400</c:v>
                </c:pt>
                <c:pt idx="3">
                  <c:v>1200</c:v>
                </c:pt>
                <c:pt idx="4">
                  <c:v>350</c:v>
                </c:pt>
                <c:pt idx="5">
                  <c:v>120</c:v>
                </c:pt>
                <c:pt idx="6">
                  <c:v>200</c:v>
                </c:pt>
                <c:pt idx="7">
                  <c:v>180</c:v>
                </c:pt>
                <c:pt idx="8">
                  <c:v>250</c:v>
                </c:pt>
                <c:pt idx="9">
                  <c:v>150</c:v>
                </c:pt>
                <c:pt idx="10">
                  <c:v>300</c:v>
                </c:pt>
                <c:pt idx="11">
                  <c:v>450</c:v>
                </c:pt>
                <c:pt idx="12">
                  <c:v>600</c:v>
                </c:pt>
                <c:pt idx="1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C-4D0C-93B8-CB02B46BF4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769504"/>
        <c:axId val="173566128"/>
      </c:barChart>
      <c:catAx>
        <c:axId val="24076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66128"/>
        <c:crosses val="autoZero"/>
        <c:auto val="1"/>
        <c:lblAlgn val="ctr"/>
        <c:lblOffset val="100"/>
        <c:noMultiLvlLbl val="0"/>
      </c:catAx>
      <c:valAx>
        <c:axId val="17356612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4076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616351183789633E-2"/>
          <c:y val="7.4073810897590769E-2"/>
          <c:w val="0.93888888888888888"/>
          <c:h val="0.8416746864975212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flip="none" rotWithShape="1">
              <a:gsLst>
                <a:gs pos="92920">
                  <a:srgbClr val="336699"/>
                </a:gs>
                <a:gs pos="0">
                  <a:schemeClr val="bg1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30616656016275"/>
                      <c:h val="0.168273517003148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925-4A9C-8726-D08C38877F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_("R$"* #,##0.00_);_("R$"* \(#,##0.00\);_("R$"* "-"??_);_(@_)</c:formatCode>
                <c:ptCount val="1"/>
                <c:pt idx="0">
                  <c:v>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5-4A9C-8726-D08C38877FFD}"/>
            </c:ext>
          </c:extLst>
        </c:ser>
        <c:ser>
          <c:idx val="1"/>
          <c:order val="1"/>
          <c:spPr>
            <a:gradFill flip="none" rotWithShape="1">
              <a:gsLst>
                <a:gs pos="0">
                  <a:schemeClr val="bg1"/>
                </a:gs>
                <a:gs pos="61000">
                  <a:schemeClr val="bg1">
                    <a:lumMod val="85000"/>
                  </a:schemeClr>
                </a:gs>
              </a:gsLst>
              <a:lin ang="18900000" scaled="1"/>
              <a:tileRect/>
            </a:gra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08743327050066"/>
                      <c:h val="0.150224873777926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925-4A9C-8726-D08C38877F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Caixinha!$D$4</c:f>
              <c:numCache>
                <c:formatCode>_("R$"* #,##0.00_);_("R$"* \(#,##0.00\);_("R$"* "-"??_);_(@_)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25-4A9C-8726-D08C38877F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8588896"/>
        <c:axId val="530207968"/>
      </c:barChart>
      <c:catAx>
        <c:axId val="16858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0207968"/>
        <c:crosses val="autoZero"/>
        <c:auto val="1"/>
        <c:lblAlgn val="ctr"/>
        <c:lblOffset val="100"/>
        <c:noMultiLvlLbl val="0"/>
      </c:catAx>
      <c:valAx>
        <c:axId val="53020796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858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2.svg"/><Relationship Id="rId7" Type="http://schemas.openxmlformats.org/officeDocument/2006/relationships/hyperlink" Target="#Data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microsoft.com/office/2007/relationships/hdphoto" Target="../media/hdphoto1.wdp"/><Relationship Id="rId5" Type="http://schemas.openxmlformats.org/officeDocument/2006/relationships/image" Target="../media/image3.png"/><Relationship Id="rId15" Type="http://schemas.openxmlformats.org/officeDocument/2006/relationships/chart" Target="../charts/chart3.xml"/><Relationship Id="rId10" Type="http://schemas.openxmlformats.org/officeDocument/2006/relationships/image" Target="../media/image7.png"/><Relationship Id="rId4" Type="http://schemas.openxmlformats.org/officeDocument/2006/relationships/chart" Target="../charts/chart2.xml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92867</xdr:colOff>
      <xdr:row>3</xdr:row>
      <xdr:rowOff>71437</xdr:rowOff>
    </xdr:from>
    <xdr:to>
      <xdr:col>8</xdr:col>
      <xdr:colOff>295271</xdr:colOff>
      <xdr:row>17</xdr:row>
      <xdr:rowOff>95250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AA6ADA5D-B1F2-45F4-B4EC-4B1A057BA3C1}"/>
            </a:ext>
          </a:extLst>
        </xdr:cNvPr>
        <xdr:cNvGrpSpPr/>
      </xdr:nvGrpSpPr>
      <xdr:grpSpPr>
        <a:xfrm>
          <a:off x="1843086" y="1357312"/>
          <a:ext cx="4429123" cy="2690813"/>
          <a:chOff x="2226470" y="1047749"/>
          <a:chExt cx="4464842" cy="3298032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46B81B9D-6CB6-46A5-9E6D-FF7EA6B9FF9B}"/>
              </a:ext>
            </a:extLst>
          </xdr:cNvPr>
          <xdr:cNvGrpSpPr/>
        </xdr:nvGrpSpPr>
        <xdr:grpSpPr>
          <a:xfrm>
            <a:off x="2226470" y="1047749"/>
            <a:ext cx="4464842" cy="3298032"/>
            <a:chOff x="2202658" y="940593"/>
            <a:chExt cx="4464842" cy="3298032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558CE531-88AE-47A3-91FD-A320878C503F}"/>
                </a:ext>
              </a:extLst>
            </xdr:cNvPr>
            <xdr:cNvSpPr/>
          </xdr:nvSpPr>
          <xdr:spPr>
            <a:xfrm>
              <a:off x="2214562" y="940593"/>
              <a:ext cx="4452938" cy="329803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F105BA6C-4D97-4CBD-BB7D-E95E078761DC}"/>
                </a:ext>
              </a:extLst>
            </xdr:cNvPr>
            <xdr:cNvGraphicFramePr>
              <a:graphicFrameLocks/>
            </xdr:cNvGraphicFramePr>
          </xdr:nvGraphicFramePr>
          <xdr:xfrm>
            <a:off x="2333626" y="1893094"/>
            <a:ext cx="3988592" cy="218360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9" name="Retângulo: Cantos Superiores Arredondados 8">
              <a:extLst>
                <a:ext uri="{FF2B5EF4-FFF2-40B4-BE49-F238E27FC236}">
                  <a16:creationId xmlns:a16="http://schemas.microsoft.com/office/drawing/2014/main" id="{E530602D-B18E-4150-9DF7-B3ACFE0BA6E9}"/>
                </a:ext>
              </a:extLst>
            </xdr:cNvPr>
            <xdr:cNvSpPr/>
          </xdr:nvSpPr>
          <xdr:spPr>
            <a:xfrm>
              <a:off x="2202658" y="952501"/>
              <a:ext cx="4464842" cy="595312"/>
            </a:xfrm>
            <a:prstGeom prst="round2SameRect">
              <a:avLst>
                <a:gd name="adj1" fmla="val 40909"/>
                <a:gd name="adj2" fmla="val 0"/>
              </a:avLst>
            </a:prstGeom>
            <a:solidFill>
              <a:schemeClr val="accent1">
                <a:lumMod val="5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E07BAE78-9EAC-4DBF-8ECD-D6BD37C8AA79}"/>
              </a:ext>
            </a:extLst>
          </xdr:cNvPr>
          <xdr:cNvSpPr txBox="1"/>
        </xdr:nvSpPr>
        <xdr:spPr>
          <a:xfrm>
            <a:off x="2833688" y="1238249"/>
            <a:ext cx="2452687" cy="4167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>
                <a:solidFill>
                  <a:schemeClr val="bg1"/>
                </a:solidFill>
                <a:latin typeface="Tw Cen MT" panose="020B0602020104020603" pitchFamily="34" charset="0"/>
              </a:rPr>
              <a:t>Entradas</a:t>
            </a:r>
          </a:p>
        </xdr:txBody>
      </xdr:sp>
      <xdr:pic>
        <xdr:nvPicPr>
          <xdr:cNvPr id="16" name="Gráfico 15" descr="Registrar">
            <a:extLst>
              <a:ext uri="{FF2B5EF4-FFF2-40B4-BE49-F238E27FC236}">
                <a16:creationId xmlns:a16="http://schemas.microsoft.com/office/drawing/2014/main" id="{09F4A7F7-2DD9-4B0C-91A9-4CC8E6720C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16971" y="1238252"/>
            <a:ext cx="345280" cy="34528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92867</xdr:colOff>
      <xdr:row>18</xdr:row>
      <xdr:rowOff>8351</xdr:rowOff>
    </xdr:from>
    <xdr:to>
      <xdr:col>20</xdr:col>
      <xdr:colOff>116679</xdr:colOff>
      <xdr:row>34</xdr:row>
      <xdr:rowOff>83345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43BF8FBC-1CE4-4106-8693-503F15EA50D3}"/>
            </a:ext>
          </a:extLst>
        </xdr:cNvPr>
        <xdr:cNvGrpSpPr/>
      </xdr:nvGrpSpPr>
      <xdr:grpSpPr>
        <a:xfrm>
          <a:off x="1843086" y="4151726"/>
          <a:ext cx="11537156" cy="3122994"/>
          <a:chOff x="2238377" y="4795837"/>
          <a:chExt cx="11656217" cy="3440993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93A78E5C-8CFF-4D0E-B91E-B803E6A87DBC}"/>
              </a:ext>
            </a:extLst>
          </xdr:cNvPr>
          <xdr:cNvGrpSpPr/>
        </xdr:nvGrpSpPr>
        <xdr:grpSpPr>
          <a:xfrm>
            <a:off x="2238377" y="4795837"/>
            <a:ext cx="11656217" cy="3440993"/>
            <a:chOff x="2131219" y="4569619"/>
            <a:chExt cx="11656217" cy="3440993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EB80088E-7803-4702-B1EE-5678FEF6701E}"/>
                </a:ext>
              </a:extLst>
            </xdr:cNvPr>
            <xdr:cNvSpPr/>
          </xdr:nvSpPr>
          <xdr:spPr>
            <a:xfrm>
              <a:off x="2131220" y="4569619"/>
              <a:ext cx="11644311" cy="338375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705BBEF2-7E33-4A27-B5C4-A5CB62111B51}"/>
                </a:ext>
              </a:extLst>
            </xdr:cNvPr>
            <xdr:cNvGraphicFramePr>
              <a:graphicFrameLocks/>
            </xdr:cNvGraphicFramePr>
          </xdr:nvGraphicFramePr>
          <xdr:xfrm>
            <a:off x="2238374" y="5214938"/>
            <a:ext cx="11443208" cy="27956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375AF09D-C268-45A3-9774-B8352AB7BAEE}"/>
                </a:ext>
              </a:extLst>
            </xdr:cNvPr>
            <xdr:cNvSpPr/>
          </xdr:nvSpPr>
          <xdr:spPr>
            <a:xfrm>
              <a:off x="2131219" y="4569619"/>
              <a:ext cx="11656217" cy="585788"/>
            </a:xfrm>
            <a:prstGeom prst="round2SameRect">
              <a:avLst>
                <a:gd name="adj1" fmla="val 40909"/>
                <a:gd name="adj2" fmla="val 0"/>
              </a:avLst>
            </a:prstGeom>
            <a:solidFill>
              <a:schemeClr val="accent1">
                <a:lumMod val="5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C1146A38-25EF-43EC-A2F2-42F86D3EDB07}"/>
              </a:ext>
            </a:extLst>
          </xdr:cNvPr>
          <xdr:cNvSpPr txBox="1"/>
        </xdr:nvSpPr>
        <xdr:spPr>
          <a:xfrm>
            <a:off x="2917033" y="4998243"/>
            <a:ext cx="2452687" cy="3714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>
                <a:solidFill>
                  <a:schemeClr val="bg1"/>
                </a:solidFill>
                <a:latin typeface="Tw Cen MT" panose="020B0602020104020603" pitchFamily="34" charset="0"/>
              </a:rPr>
              <a:t>Gastos</a:t>
            </a:r>
          </a:p>
        </xdr:txBody>
      </xdr:sp>
      <xdr:pic>
        <xdr:nvPicPr>
          <xdr:cNvPr id="18" name="Gráfico 17" descr="Dinheiro">
            <a:extLst>
              <a:ext uri="{FF2B5EF4-FFF2-40B4-BE49-F238E27FC236}">
                <a16:creationId xmlns:a16="http://schemas.microsoft.com/office/drawing/2014/main" id="{1E0FA8CD-F327-4BB2-8519-A5CA7CE626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476500" y="4953000"/>
            <a:ext cx="381000" cy="38100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23812</xdr:colOff>
      <xdr:row>3</xdr:row>
      <xdr:rowOff>142875</xdr:rowOff>
    </xdr:from>
    <xdr:to>
      <xdr:col>0</xdr:col>
      <xdr:colOff>1738312</xdr:colOff>
      <xdr:row>10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MÊS">
              <a:extLst>
                <a:ext uri="{FF2B5EF4-FFF2-40B4-BE49-F238E27FC236}">
                  <a16:creationId xmlns:a16="http://schemas.microsoft.com/office/drawing/2014/main" id="{F5B539BD-E5AD-44C1-994C-9B7448B74F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1428750"/>
              <a:ext cx="17145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92867</xdr:colOff>
      <xdr:row>0</xdr:row>
      <xdr:rowOff>142875</xdr:rowOff>
    </xdr:from>
    <xdr:to>
      <xdr:col>20</xdr:col>
      <xdr:colOff>142875</xdr:colOff>
      <xdr:row>3</xdr:row>
      <xdr:rowOff>23812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121FFEC3-2BB1-4EA7-8B03-AB80360CB9C7}"/>
            </a:ext>
          </a:extLst>
        </xdr:cNvPr>
        <xdr:cNvGrpSpPr/>
      </xdr:nvGrpSpPr>
      <xdr:grpSpPr>
        <a:xfrm>
          <a:off x="1843086" y="142875"/>
          <a:ext cx="11563352" cy="1166812"/>
          <a:chOff x="1890711" y="214313"/>
          <a:chExt cx="11563352" cy="1083468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D82CA062-D8EF-4C70-85B0-BCF3C677DBB7}"/>
              </a:ext>
            </a:extLst>
          </xdr:cNvPr>
          <xdr:cNvSpPr/>
        </xdr:nvSpPr>
        <xdr:spPr>
          <a:xfrm>
            <a:off x="1890711" y="250029"/>
            <a:ext cx="11563352" cy="104775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FA13B096-9D42-46AD-AB3F-6176D2CE254E}"/>
              </a:ext>
            </a:extLst>
          </xdr:cNvPr>
          <xdr:cNvSpPr/>
        </xdr:nvSpPr>
        <xdr:spPr>
          <a:xfrm>
            <a:off x="2138362" y="378618"/>
            <a:ext cx="885826" cy="847727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23070E03-21BE-4A5B-96B2-9A9A7D69E6B0}"/>
              </a:ext>
            </a:extLst>
          </xdr:cNvPr>
          <xdr:cNvSpPr txBox="1"/>
        </xdr:nvSpPr>
        <xdr:spPr>
          <a:xfrm>
            <a:off x="3178970" y="511969"/>
            <a:ext cx="2940843" cy="6310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/>
              <a:t>Hello, Jaque</a:t>
            </a:r>
          </a:p>
          <a:p>
            <a:r>
              <a:rPr lang="pt-BR" sz="1100">
                <a:solidFill>
                  <a:schemeClr val="bg1">
                    <a:lumMod val="65000"/>
                  </a:schemeClr>
                </a:solidFill>
              </a:rPr>
              <a:t>Acompanhamento Financeiro</a:t>
            </a:r>
          </a:p>
        </xdr:txBody>
      </xdr:sp>
      <xdr:grpSp>
        <xdr:nvGrpSpPr>
          <xdr:cNvPr id="34" name="Agrupar 33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DA3D881-CFEA-417C-9A93-7C92CDD02118}"/>
              </a:ext>
            </a:extLst>
          </xdr:cNvPr>
          <xdr:cNvGrpSpPr/>
        </xdr:nvGrpSpPr>
        <xdr:grpSpPr>
          <a:xfrm>
            <a:off x="7696200" y="673892"/>
            <a:ext cx="4221956" cy="254795"/>
            <a:chOff x="7743825" y="697704"/>
            <a:chExt cx="4221956" cy="363074"/>
          </a:xfrm>
        </xdr:grpSpPr>
        <xdr:sp macro="" textlink="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29ECF3E7-B49D-47D7-A62A-D502AAE930B3}"/>
                </a:ext>
              </a:extLst>
            </xdr:cNvPr>
            <xdr:cNvSpPr/>
          </xdr:nvSpPr>
          <xdr:spPr>
            <a:xfrm>
              <a:off x="7743825" y="697704"/>
              <a:ext cx="4221956" cy="361951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100">
                  <a:solidFill>
                    <a:schemeClr val="bg1">
                      <a:lumMod val="65000"/>
                    </a:schemeClr>
                  </a:solidFill>
                </a:rPr>
                <a:t>Pesquisar dados</a:t>
              </a:r>
            </a:p>
          </xdr:txBody>
        </xdr:sp>
        <xdr:pic>
          <xdr:nvPicPr>
            <xdr:cNvPr id="33" name="Gráfico 32" descr="Lupa">
              <a:extLst>
                <a:ext uri="{FF2B5EF4-FFF2-40B4-BE49-F238E27FC236}">
                  <a16:creationId xmlns:a16="http://schemas.microsoft.com/office/drawing/2014/main" id="{47FA5161-31E1-46FE-850F-622B476826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11632405" y="773907"/>
              <a:ext cx="261938" cy="286871"/>
            </a:xfrm>
            <a:prstGeom prst="rect">
              <a:avLst/>
            </a:prstGeom>
          </xdr:spPr>
        </xdr:pic>
      </xdr:grpSp>
      <xdr:pic>
        <xdr:nvPicPr>
          <xdr:cNvPr id="36" name="Imagem 35" descr="Vetores e ilustrações de Boneca Png para download gratuito | Freepik">
            <a:extLst>
              <a:ext uri="{FF2B5EF4-FFF2-40B4-BE49-F238E27FC236}">
                <a16:creationId xmlns:a16="http://schemas.microsoft.com/office/drawing/2014/main" id="{63500F8A-BF1F-406E-9731-E0ACDE5BFE87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ackgroundRemoval t="1438" b="89617" l="3836" r="93425">
                        <a14:foregroundMark x1="40822" y1="7188" x2="40822" y2="7188"/>
                        <a14:foregroundMark x1="3836" y1="33387" x2="3836" y2="33387"/>
                        <a14:foregroundMark x1="93425" y1="34026" x2="93425" y2="34026"/>
                        <a14:foregroundMark x1="46849" y1="7188" x2="46849" y2="7188"/>
                        <a14:foregroundMark x1="30959" y1="3674" x2="30959" y2="3674"/>
                        <a14:foregroundMark x1="40822" y1="1438" x2="40822" y2="1438"/>
                        <a14:foregroundMark x1="40822" y1="1438" x2="40822" y2="1438"/>
                        <a14:foregroundMark x1="52877" y1="4313" x2="52877" y2="4313"/>
                        <a14:foregroundMark x1="17260" y1="8626" x2="17260" y2="8626"/>
                        <a14:foregroundMark x1="11233" y1="23962" x2="11233" y2="23962"/>
                        <a14:foregroundMark x1="11233" y1="28275" x2="11233" y2="28275"/>
                        <a14:foregroundMark x1="8767" y1="24601" x2="8767" y2="24601"/>
                        <a14:foregroundMark x1="11233" y1="16613" x2="11233" y2="16613"/>
                        <a14:foregroundMark x1="14795" y1="12300" x2="14795" y2="12300"/>
                        <a14:foregroundMark x1="76438" y1="13738" x2="76438" y2="13738"/>
                        <a14:foregroundMark x1="81370" y1="15176" x2="81370" y2="15176"/>
                        <a14:foregroundMark x1="86301" y1="41374" x2="86301" y2="41374"/>
                        <a14:foregroundMark x1="78904" y1="43450" x2="78904" y2="43450"/>
                        <a14:foregroundMark x1="92329" y1="36901" x2="92329" y2="36901"/>
                        <a14:foregroundMark x1="89863" y1="42812" x2="89863" y2="42812"/>
                        <a14:foregroundMark x1="89863" y1="39137" x2="89863" y2="39137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b="40580"/>
          <a:stretch/>
        </xdr:blipFill>
        <xdr:spPr bwMode="auto">
          <a:xfrm flipH="1">
            <a:off x="2067608" y="214313"/>
            <a:ext cx="944865" cy="9524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11907</xdr:colOff>
      <xdr:row>0</xdr:row>
      <xdr:rowOff>238124</xdr:rowOff>
    </xdr:from>
    <xdr:to>
      <xdr:col>1</xdr:col>
      <xdr:colOff>0</xdr:colOff>
      <xdr:row>0</xdr:row>
      <xdr:rowOff>797719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3FA28C07-198B-43D5-8DFC-662B15A811B6}"/>
            </a:ext>
          </a:extLst>
        </xdr:cNvPr>
        <xdr:cNvGrpSpPr/>
      </xdr:nvGrpSpPr>
      <xdr:grpSpPr>
        <a:xfrm>
          <a:off x="11907" y="238124"/>
          <a:ext cx="1738312" cy="559595"/>
          <a:chOff x="11907" y="238124"/>
          <a:chExt cx="1738312" cy="559595"/>
        </a:xfrm>
      </xdr:grpSpPr>
      <xdr:sp macro="" textlink="">
        <xdr:nvSpPr>
          <xdr:cNvPr id="50" name="Retângulo: Cantos Arredondados 49">
            <a:extLst>
              <a:ext uri="{FF2B5EF4-FFF2-40B4-BE49-F238E27FC236}">
                <a16:creationId xmlns:a16="http://schemas.microsoft.com/office/drawing/2014/main" id="{33E93D24-5D75-4BC7-A3A8-550B1A4C622D}"/>
              </a:ext>
            </a:extLst>
          </xdr:cNvPr>
          <xdr:cNvSpPr/>
        </xdr:nvSpPr>
        <xdr:spPr>
          <a:xfrm>
            <a:off x="11907" y="238124"/>
            <a:ext cx="1738312" cy="559595"/>
          </a:xfrm>
          <a:prstGeom prst="round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1" name="CaixaDeTexto 50">
            <a:extLst>
              <a:ext uri="{FF2B5EF4-FFF2-40B4-BE49-F238E27FC236}">
                <a16:creationId xmlns:a16="http://schemas.microsoft.com/office/drawing/2014/main" id="{7D781BF0-81DE-42CD-93D6-A8F54EFC17B7}"/>
              </a:ext>
            </a:extLst>
          </xdr:cNvPr>
          <xdr:cNvSpPr txBox="1"/>
        </xdr:nvSpPr>
        <xdr:spPr>
          <a:xfrm>
            <a:off x="59530" y="416720"/>
            <a:ext cx="1297781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pt-BR" sz="1400" b="1">
                <a:solidFill>
                  <a:schemeClr val="bg1"/>
                </a:solidFill>
              </a:rPr>
              <a:t>Money APP</a:t>
            </a:r>
          </a:p>
        </xdr:txBody>
      </xdr:sp>
      <xdr:pic>
        <xdr:nvPicPr>
          <xdr:cNvPr id="52" name="Gráfico 51" descr="Dinheiro">
            <a:extLst>
              <a:ext uri="{FF2B5EF4-FFF2-40B4-BE49-F238E27FC236}">
                <a16:creationId xmlns:a16="http://schemas.microsoft.com/office/drawing/2014/main" id="{04B68844-AEDC-4971-B3C8-14C02CD64E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131094" y="357187"/>
            <a:ext cx="377108" cy="379793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173829</xdr:colOff>
      <xdr:row>3</xdr:row>
      <xdr:rowOff>104774</xdr:rowOff>
    </xdr:from>
    <xdr:to>
      <xdr:col>17</xdr:col>
      <xdr:colOff>352421</xdr:colOff>
      <xdr:row>17</xdr:row>
      <xdr:rowOff>128587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EF82650B-D442-499D-86BD-E475452ACC14}"/>
            </a:ext>
          </a:extLst>
        </xdr:cNvPr>
        <xdr:cNvGrpSpPr/>
      </xdr:nvGrpSpPr>
      <xdr:grpSpPr>
        <a:xfrm>
          <a:off x="7365204" y="1390649"/>
          <a:ext cx="4429123" cy="2690813"/>
          <a:chOff x="7365204" y="1676399"/>
          <a:chExt cx="4429123" cy="2690813"/>
        </a:xfrm>
      </xdr:grpSpPr>
      <xdr:grpSp>
        <xdr:nvGrpSpPr>
          <xdr:cNvPr id="55" name="Agrupar 54">
            <a:extLst>
              <a:ext uri="{FF2B5EF4-FFF2-40B4-BE49-F238E27FC236}">
                <a16:creationId xmlns:a16="http://schemas.microsoft.com/office/drawing/2014/main" id="{DD3FA16F-DC82-4A44-B145-4C5D03EB4F4E}"/>
              </a:ext>
            </a:extLst>
          </xdr:cNvPr>
          <xdr:cNvGrpSpPr/>
        </xdr:nvGrpSpPr>
        <xdr:grpSpPr>
          <a:xfrm>
            <a:off x="7365204" y="1676399"/>
            <a:ext cx="4429123" cy="2690813"/>
            <a:chOff x="2226470" y="1047749"/>
            <a:chExt cx="4464842" cy="3298032"/>
          </a:xfrm>
        </xdr:grpSpPr>
        <xdr:grpSp>
          <xdr:nvGrpSpPr>
            <xdr:cNvPr id="56" name="Agrupar 55">
              <a:extLst>
                <a:ext uri="{FF2B5EF4-FFF2-40B4-BE49-F238E27FC236}">
                  <a16:creationId xmlns:a16="http://schemas.microsoft.com/office/drawing/2014/main" id="{7E9C25E2-CD2A-4B8C-8C08-00EDF4754FFA}"/>
                </a:ext>
              </a:extLst>
            </xdr:cNvPr>
            <xdr:cNvGrpSpPr/>
          </xdr:nvGrpSpPr>
          <xdr:grpSpPr>
            <a:xfrm>
              <a:off x="2226470" y="1047749"/>
              <a:ext cx="4464842" cy="3298032"/>
              <a:chOff x="2202658" y="940593"/>
              <a:chExt cx="4464842" cy="3298032"/>
            </a:xfrm>
          </xdr:grpSpPr>
          <xdr:sp macro="" textlink="">
            <xdr:nvSpPr>
              <xdr:cNvPr id="59" name="Retângulo: Cantos Arredondados 58">
                <a:extLst>
                  <a:ext uri="{FF2B5EF4-FFF2-40B4-BE49-F238E27FC236}">
                    <a16:creationId xmlns:a16="http://schemas.microsoft.com/office/drawing/2014/main" id="{7C16A4E1-BD03-4C71-B98D-5D9621F04497}"/>
                  </a:ext>
                </a:extLst>
              </xdr:cNvPr>
              <xdr:cNvSpPr/>
            </xdr:nvSpPr>
            <xdr:spPr>
              <a:xfrm>
                <a:off x="2214562" y="940593"/>
                <a:ext cx="4452938" cy="3298032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61" name="Retângulo: Cantos Superiores Arredondados 60">
                <a:extLst>
                  <a:ext uri="{FF2B5EF4-FFF2-40B4-BE49-F238E27FC236}">
                    <a16:creationId xmlns:a16="http://schemas.microsoft.com/office/drawing/2014/main" id="{D488CDAF-AA84-43FA-88C4-893FD1933B6D}"/>
                  </a:ext>
                </a:extLst>
              </xdr:cNvPr>
              <xdr:cNvSpPr/>
            </xdr:nvSpPr>
            <xdr:spPr>
              <a:xfrm>
                <a:off x="2202658" y="952501"/>
                <a:ext cx="4464842" cy="595312"/>
              </a:xfrm>
              <a:prstGeom prst="round2SameRect">
                <a:avLst>
                  <a:gd name="adj1" fmla="val 40909"/>
                  <a:gd name="adj2" fmla="val 0"/>
                </a:avLst>
              </a:prstGeom>
              <a:solidFill>
                <a:schemeClr val="accent1">
                  <a:lumMod val="50000"/>
                </a:schemeClr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57" name="CaixaDeTexto 56">
              <a:extLst>
                <a:ext uri="{FF2B5EF4-FFF2-40B4-BE49-F238E27FC236}">
                  <a16:creationId xmlns:a16="http://schemas.microsoft.com/office/drawing/2014/main" id="{4F206B7A-A855-4903-B4E3-43022B6A3F4E}"/>
                </a:ext>
              </a:extLst>
            </xdr:cNvPr>
            <xdr:cNvSpPr txBox="1"/>
          </xdr:nvSpPr>
          <xdr:spPr>
            <a:xfrm>
              <a:off x="2833688" y="1238249"/>
              <a:ext cx="2452687" cy="4167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>
                  <a:solidFill>
                    <a:schemeClr val="bg1"/>
                  </a:solidFill>
                  <a:latin typeface="Tw Cen MT" panose="020B0602020104020603" pitchFamily="34" charset="0"/>
                </a:rPr>
                <a:t>Economias</a:t>
              </a:r>
            </a:p>
          </xdr:txBody>
        </xdr:sp>
        <xdr:pic>
          <xdr:nvPicPr>
            <xdr:cNvPr id="58" name="Gráfico 57" descr="Cofrinho">
              <a:extLst>
                <a:ext uri="{FF2B5EF4-FFF2-40B4-BE49-F238E27FC236}">
                  <a16:creationId xmlns:a16="http://schemas.microsoft.com/office/drawing/2014/main" id="{51A2F786-F5DA-420F-BE76-B4EDA2A459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rcRect/>
            <a:stretch/>
          </xdr:blipFill>
          <xdr:spPr>
            <a:xfrm>
              <a:off x="2447620" y="1238251"/>
              <a:ext cx="283981" cy="345281"/>
            </a:xfrm>
            <a:prstGeom prst="rect">
              <a:avLst/>
            </a:prstGeom>
          </xdr:spPr>
        </xdr:pic>
      </xdr:grpSp>
      <xdr:graphicFrame macro="">
        <xdr:nvGraphicFramePr>
          <xdr:cNvPr id="62" name="Gráfico 61">
            <a:extLst>
              <a:ext uri="{FF2B5EF4-FFF2-40B4-BE49-F238E27FC236}">
                <a16:creationId xmlns:a16="http://schemas.microsoft.com/office/drawing/2014/main" id="{59720D40-2253-415C-B572-A45C10E2DFB7}"/>
              </a:ext>
            </a:extLst>
          </xdr:cNvPr>
          <xdr:cNvGraphicFramePr>
            <a:graphicFrameLocks/>
          </xdr:cNvGraphicFramePr>
        </xdr:nvGraphicFramePr>
        <xdr:xfrm>
          <a:off x="8010523" y="2091944"/>
          <a:ext cx="3240883" cy="21109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QUE" refreshedDate="45654.786965856481" createdVersion="6" refreshedVersion="6" minRefreshableVersion="3" recordCount="44" xr:uid="{4751A97E-2904-4252-8301-767F6AE87E1B}">
  <cacheSource type="worksheet">
    <worksheetSource name="Tabela3"/>
  </cacheSource>
  <cacheFields count="8">
    <cacheField name="DATA" numFmtId="14">
      <sharedItems containsDate="1" containsMixedTypes="1" minDate="2024-08-01T00:00:00" maxDate="2024-11-01T00:00:00"/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0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5557976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01/08/2024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8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0CC38-240B-4FD7-A057-B765C6119F25}" name="TBL_Saída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3">
  <location ref="B4:C19" firstHeaderRow="1" firstDataRow="1" firstDataCol="1" rowPageCount="1" colPageCount="1"/>
  <pivotFields count="8">
    <pivotField showAll="0"/>
    <pivotField numFmtId="1" showAll="0">
      <items count="4">
        <item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 t="grand">
      <x/>
    </i>
  </rowItems>
  <colItems count="1">
    <i/>
  </colItems>
  <pageFields count="1">
    <pageField fld="2" item="1" hier="-1"/>
  </pageFields>
  <dataFields count="1">
    <dataField name="Soma de VALOR" fld="5" baseField="2" baseItem="0" numFmtId="164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2BC0B-F644-4BB5-B447-33E19FE524CE}" name="TBL_Entrada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F4:G7" firstHeaderRow="1" firstDataRow="1" firstDataCol="1" rowPageCount="1" colPageCount="1"/>
  <pivotFields count="8">
    <pivotField showAll="0"/>
    <pivotField numFmtId="1" showAll="0">
      <items count="4">
        <item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outline="0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3">
    <i>
      <x v="6"/>
    </i>
    <i>
      <x v="10"/>
    </i>
    <i t="grand">
      <x/>
    </i>
  </rowItems>
  <colItems count="1">
    <i/>
  </colItems>
  <pageFields count="1">
    <pageField fld="2" item="0" hier="-1"/>
  </pageFields>
  <dataFields count="1">
    <dataField name="Soma de VALOR" fld="5" baseField="2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51F90681-3BEF-4BA4-8758-A04942E64565}" sourceName="MÊS">
  <pivotTables>
    <pivotTable tabId="3" name="TBL_Saída"/>
    <pivotTable tabId="3" name="TBL_Entrada"/>
  </pivotTables>
  <data>
    <tabular pivotCacheId="555797699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85D42DE9-A007-4CE7-ABBF-0C5008286084}" cache="SegmentaçãodeDados_MÊS" caption="Meses" style="SlicerStyleOther2 8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85F5C-8B4A-428B-B69A-243166735C30}" name="Tabela3" displayName="Tabela3" ref="A1:H45" totalsRowShown="0" headerRowDxfId="14" dataDxfId="13">
  <autoFilter ref="A1:H45" xr:uid="{9E1E1047-448D-402B-BEB7-0AA1E5B9991E}"/>
  <tableColumns count="8">
    <tableColumn id="1" xr3:uid="{9E092E5E-B640-4BB8-946B-3D9BA9F402AE}" name="DATA" dataDxfId="12"/>
    <tableColumn id="9" xr3:uid="{A7A85E01-09AD-46DB-936D-8B06F98DDE8C}" name="MÊS" dataDxfId="11">
      <calculatedColumnFormula>MONTH(Tabela3[[#This Row],[DATA]])</calculatedColumnFormula>
    </tableColumn>
    <tableColumn id="2" xr3:uid="{0AD18D0F-3631-4BCC-BEA4-D25A06984FDE}" name="TIPO" dataDxfId="10"/>
    <tableColumn id="3" xr3:uid="{F03E8FB9-43F8-4584-BC3A-CE171F71560B}" name="CATEGORIA" dataDxfId="9"/>
    <tableColumn id="4" xr3:uid="{2F69AEC0-0CDE-4D04-9B22-2427EB8F7C06}" name="DESCRIÇÃO" dataDxfId="8"/>
    <tableColumn id="5" xr3:uid="{7B43DBBE-2977-4A9A-B214-27E3665E5FC7}" name="VALOR" dataDxfId="7" dataCellStyle="Moeda"/>
    <tableColumn id="6" xr3:uid="{14F4F179-E7BF-42C5-8324-9B865E296CC0}" name="OPERAÇÃO BANCÁRIA" dataDxfId="6"/>
    <tableColumn id="7" xr3:uid="{FC5EE083-80A3-4514-A9F5-6B3939D3C134}" name="STATUS" dataDxfId="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360729-52D4-4EE2-B709-71EE3E464D6A}" name="Tabela5" displayName="Tabela5" ref="C6:D18" totalsRowShown="0" headerRowDxfId="4">
  <autoFilter ref="C6:D18" xr:uid="{A441F026-20F2-4604-80F2-CAC0B7A400B7}"/>
  <tableColumns count="2">
    <tableColumn id="1" xr3:uid="{9EFEAA60-5AD7-4A89-ADC6-EC459118F32B}" name="Data de Lançamento" dataDxfId="3" totalsRowDxfId="2"/>
    <tableColumn id="2" xr3:uid="{59603930-DC94-4D60-ACF9-D466E820D3C5}" name="Depósito Reservado" dataDxfId="1" totalsRow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3DD1-EE0B-4A5A-B36E-02C017B8D85B}">
  <sheetPr>
    <tabColor rgb="FF00B0F0"/>
  </sheetPr>
  <dimension ref="A1:H45"/>
  <sheetViews>
    <sheetView workbookViewId="0"/>
  </sheetViews>
  <sheetFormatPr defaultRowHeight="15" x14ac:dyDescent="0.25"/>
  <cols>
    <col min="1" max="1" width="10.7109375" style="2" bestFit="1" customWidth="1"/>
    <col min="2" max="2" width="10.7109375" style="10" customWidth="1"/>
    <col min="3" max="3" width="9.42578125" style="1" bestFit="1" customWidth="1"/>
    <col min="4" max="4" width="20.85546875" style="1" bestFit="1" customWidth="1"/>
    <col min="5" max="5" width="34.42578125" style="1" bestFit="1" customWidth="1"/>
    <col min="6" max="6" width="12.140625" style="3" bestFit="1" customWidth="1"/>
    <col min="7" max="7" width="22.7109375" style="1" customWidth="1"/>
    <col min="8" max="8" width="9.85546875" style="1" customWidth="1"/>
  </cols>
  <sheetData>
    <row r="1" spans="1:8" x14ac:dyDescent="0.25">
      <c r="A1" s="2" t="s">
        <v>66</v>
      </c>
      <c r="B1" s="10" t="s">
        <v>78</v>
      </c>
      <c r="C1" s="1" t="s">
        <v>67</v>
      </c>
      <c r="D1" s="1" t="s">
        <v>68</v>
      </c>
      <c r="E1" s="1" t="s">
        <v>69</v>
      </c>
      <c r="F1" s="3" t="s">
        <v>70</v>
      </c>
      <c r="G1" s="1" t="s">
        <v>71</v>
      </c>
      <c r="H1" s="1" t="s">
        <v>72</v>
      </c>
    </row>
    <row r="2" spans="1:8" x14ac:dyDescent="0.25">
      <c r="A2" s="2" t="s">
        <v>65</v>
      </c>
      <c r="B2" s="10">
        <f>MONTH(Tabela3[[#This Row],[DATA]])</f>
        <v>8</v>
      </c>
      <c r="C2" s="1" t="s">
        <v>0</v>
      </c>
      <c r="D2" s="1" t="s">
        <v>1</v>
      </c>
      <c r="E2" s="1" t="s">
        <v>2</v>
      </c>
      <c r="F2" s="7">
        <v>5000</v>
      </c>
      <c r="G2" s="1" t="s">
        <v>3</v>
      </c>
      <c r="H2" s="1" t="s">
        <v>4</v>
      </c>
    </row>
    <row r="3" spans="1:8" x14ac:dyDescent="0.25">
      <c r="A3" s="2">
        <v>45505</v>
      </c>
      <c r="B3" s="10">
        <f>MONTH(Tabela3[[#This Row],[DATA]])</f>
        <v>8</v>
      </c>
      <c r="C3" s="1" t="s">
        <v>5</v>
      </c>
      <c r="D3" s="1" t="s">
        <v>6</v>
      </c>
      <c r="E3" s="1" t="s">
        <v>7</v>
      </c>
      <c r="F3" s="3">
        <v>550</v>
      </c>
      <c r="G3" s="1" t="s">
        <v>8</v>
      </c>
      <c r="H3" s="1" t="s">
        <v>9</v>
      </c>
    </row>
    <row r="4" spans="1:8" x14ac:dyDescent="0.25">
      <c r="A4" s="2">
        <v>45507</v>
      </c>
      <c r="B4" s="10">
        <f>MONTH(Tabela3[[#This Row],[DATA]])</f>
        <v>8</v>
      </c>
      <c r="C4" s="1" t="s">
        <v>5</v>
      </c>
      <c r="D4" s="1" t="s">
        <v>10</v>
      </c>
      <c r="E4" s="1" t="s">
        <v>11</v>
      </c>
      <c r="F4" s="3">
        <v>300</v>
      </c>
      <c r="G4" s="1" t="s">
        <v>12</v>
      </c>
      <c r="H4" s="1" t="s">
        <v>13</v>
      </c>
    </row>
    <row r="5" spans="1:8" x14ac:dyDescent="0.25">
      <c r="A5" s="2">
        <v>45509</v>
      </c>
      <c r="B5" s="10">
        <f>MONTH(Tabela3[[#This Row],[DATA]])</f>
        <v>8</v>
      </c>
      <c r="C5" s="1" t="s">
        <v>5</v>
      </c>
      <c r="D5" s="1" t="s">
        <v>14</v>
      </c>
      <c r="E5" s="1" t="s">
        <v>15</v>
      </c>
      <c r="F5" s="3">
        <v>120</v>
      </c>
      <c r="G5" s="1" t="s">
        <v>12</v>
      </c>
      <c r="H5" s="1" t="s">
        <v>13</v>
      </c>
    </row>
    <row r="6" spans="1:8" x14ac:dyDescent="0.25">
      <c r="A6" s="2">
        <v>45511</v>
      </c>
      <c r="B6" s="10">
        <f>MONTH(Tabela3[[#This Row],[DATA]])</f>
        <v>8</v>
      </c>
      <c r="C6" s="1" t="s">
        <v>5</v>
      </c>
      <c r="D6" s="1" t="s">
        <v>16</v>
      </c>
      <c r="E6" s="1" t="s">
        <v>17</v>
      </c>
      <c r="F6" s="3">
        <v>250</v>
      </c>
      <c r="G6" s="1" t="s">
        <v>3</v>
      </c>
      <c r="H6" s="1" t="s">
        <v>13</v>
      </c>
    </row>
    <row r="7" spans="1:8" x14ac:dyDescent="0.25">
      <c r="A7" s="2">
        <v>45514</v>
      </c>
      <c r="B7" s="10">
        <f>MONTH(Tabela3[[#This Row],[DATA]])</f>
        <v>8</v>
      </c>
      <c r="C7" s="1" t="s">
        <v>5</v>
      </c>
      <c r="D7" s="1" t="s">
        <v>18</v>
      </c>
      <c r="E7" s="1" t="s">
        <v>19</v>
      </c>
      <c r="F7" s="3">
        <v>400</v>
      </c>
      <c r="G7" s="1" t="s">
        <v>8</v>
      </c>
      <c r="H7" s="1" t="s">
        <v>9</v>
      </c>
    </row>
    <row r="8" spans="1:8" x14ac:dyDescent="0.25">
      <c r="A8" s="2">
        <v>45516</v>
      </c>
      <c r="B8" s="10">
        <f>MONTH(Tabela3[[#This Row],[DATA]])</f>
        <v>8</v>
      </c>
      <c r="C8" s="1" t="s">
        <v>5</v>
      </c>
      <c r="D8" s="1" t="s">
        <v>20</v>
      </c>
      <c r="E8" s="1" t="s">
        <v>21</v>
      </c>
      <c r="F8" s="3">
        <v>600</v>
      </c>
      <c r="G8" s="1" t="s">
        <v>12</v>
      </c>
      <c r="H8" s="1" t="s">
        <v>9</v>
      </c>
    </row>
    <row r="9" spans="1:8" x14ac:dyDescent="0.25">
      <c r="A9" s="2">
        <v>45519</v>
      </c>
      <c r="B9" s="10">
        <f>MONTH(Tabela3[[#This Row],[DATA]])</f>
        <v>8</v>
      </c>
      <c r="C9" s="1" t="s">
        <v>0</v>
      </c>
      <c r="D9" s="1" t="s">
        <v>22</v>
      </c>
      <c r="E9" s="1" t="s">
        <v>23</v>
      </c>
      <c r="F9" s="3">
        <v>800</v>
      </c>
      <c r="G9" s="1" t="s">
        <v>3</v>
      </c>
      <c r="H9" s="1" t="s">
        <v>4</v>
      </c>
    </row>
    <row r="10" spans="1:8" x14ac:dyDescent="0.25">
      <c r="A10" s="2">
        <v>45519</v>
      </c>
      <c r="B10" s="10">
        <f>MONTH(Tabela3[[#This Row],[DATA]])</f>
        <v>8</v>
      </c>
      <c r="C10" s="1" t="s">
        <v>5</v>
      </c>
      <c r="D10" s="1" t="s">
        <v>24</v>
      </c>
      <c r="E10" s="1" t="s">
        <v>25</v>
      </c>
      <c r="F10" s="3">
        <v>150</v>
      </c>
      <c r="G10" s="1" t="s">
        <v>3</v>
      </c>
      <c r="H10" s="1" t="s">
        <v>13</v>
      </c>
    </row>
    <row r="11" spans="1:8" x14ac:dyDescent="0.25">
      <c r="A11" s="2">
        <v>45522</v>
      </c>
      <c r="B11" s="10">
        <f>MONTH(Tabela3[[#This Row],[DATA]])</f>
        <v>8</v>
      </c>
      <c r="C11" s="1" t="s">
        <v>5</v>
      </c>
      <c r="D11" s="1" t="s">
        <v>26</v>
      </c>
      <c r="E11" s="1" t="s">
        <v>27</v>
      </c>
      <c r="F11" s="3">
        <v>1200</v>
      </c>
      <c r="G11" s="1" t="s">
        <v>12</v>
      </c>
      <c r="H11" s="1" t="s">
        <v>9</v>
      </c>
    </row>
    <row r="12" spans="1:8" x14ac:dyDescent="0.25">
      <c r="A12" s="2">
        <v>45524</v>
      </c>
      <c r="B12" s="10">
        <f>MONTH(Tabela3[[#This Row],[DATA]])</f>
        <v>8</v>
      </c>
      <c r="C12" s="1" t="s">
        <v>5</v>
      </c>
      <c r="D12" s="1" t="s">
        <v>28</v>
      </c>
      <c r="E12" s="1" t="s">
        <v>29</v>
      </c>
      <c r="F12" s="3">
        <v>450</v>
      </c>
      <c r="G12" s="1" t="s">
        <v>8</v>
      </c>
      <c r="H12" s="1" t="s">
        <v>13</v>
      </c>
    </row>
    <row r="13" spans="1:8" x14ac:dyDescent="0.25">
      <c r="A13" s="2">
        <v>45526</v>
      </c>
      <c r="B13" s="10">
        <f>MONTH(Tabela3[[#This Row],[DATA]])</f>
        <v>8</v>
      </c>
      <c r="C13" s="1" t="s">
        <v>5</v>
      </c>
      <c r="D13" s="1" t="s">
        <v>30</v>
      </c>
      <c r="E13" s="1" t="s">
        <v>31</v>
      </c>
      <c r="F13" s="3">
        <v>180</v>
      </c>
      <c r="G13" s="1" t="s">
        <v>3</v>
      </c>
      <c r="H13" s="1" t="s">
        <v>9</v>
      </c>
    </row>
    <row r="14" spans="1:8" x14ac:dyDescent="0.25">
      <c r="A14" s="2">
        <v>45528</v>
      </c>
      <c r="B14" s="10">
        <f>MONTH(Tabela3[[#This Row],[DATA]])</f>
        <v>8</v>
      </c>
      <c r="C14" s="1" t="s">
        <v>5</v>
      </c>
      <c r="D14" s="1" t="s">
        <v>32</v>
      </c>
      <c r="E14" s="1" t="s">
        <v>33</v>
      </c>
      <c r="F14" s="3">
        <v>80</v>
      </c>
      <c r="G14" s="1" t="s">
        <v>8</v>
      </c>
      <c r="H14" s="1" t="s">
        <v>13</v>
      </c>
    </row>
    <row r="15" spans="1:8" x14ac:dyDescent="0.25">
      <c r="A15" s="2">
        <v>45532</v>
      </c>
      <c r="B15" s="10">
        <f>MONTH(Tabela3[[#This Row],[DATA]])</f>
        <v>8</v>
      </c>
      <c r="C15" s="1" t="s">
        <v>5</v>
      </c>
      <c r="D15" s="1" t="s">
        <v>34</v>
      </c>
      <c r="E15" s="1" t="s">
        <v>35</v>
      </c>
      <c r="F15" s="3">
        <v>200</v>
      </c>
      <c r="G15" s="1" t="s">
        <v>8</v>
      </c>
      <c r="H15" s="1" t="s">
        <v>13</v>
      </c>
    </row>
    <row r="16" spans="1:8" x14ac:dyDescent="0.25">
      <c r="A16" s="2">
        <v>45534</v>
      </c>
      <c r="B16" s="10">
        <f>MONTH(Tabela3[[#This Row],[DATA]])</f>
        <v>8</v>
      </c>
      <c r="C16" s="1" t="s">
        <v>5</v>
      </c>
      <c r="D16" s="1" t="s">
        <v>36</v>
      </c>
      <c r="E16" s="1" t="s">
        <v>37</v>
      </c>
      <c r="F16" s="3">
        <v>750</v>
      </c>
      <c r="G16" s="1" t="s">
        <v>3</v>
      </c>
      <c r="H16" s="1" t="s">
        <v>9</v>
      </c>
    </row>
    <row r="17" spans="1:8" x14ac:dyDescent="0.25">
      <c r="A17" s="2">
        <v>45535</v>
      </c>
      <c r="B17" s="10">
        <f>MONTH(Tabela3[[#This Row],[DATA]])</f>
        <v>8</v>
      </c>
      <c r="C17" s="1" t="s">
        <v>5</v>
      </c>
      <c r="D17" s="1" t="s">
        <v>38</v>
      </c>
      <c r="E17" s="1" t="s">
        <v>39</v>
      </c>
      <c r="F17" s="3">
        <v>350</v>
      </c>
      <c r="G17" s="1" t="s">
        <v>12</v>
      </c>
      <c r="H17" s="1" t="s">
        <v>13</v>
      </c>
    </row>
    <row r="18" spans="1:8" x14ac:dyDescent="0.25">
      <c r="A18" s="2">
        <v>45536</v>
      </c>
      <c r="B18" s="10">
        <f>MONTH(Tabela3[[#This Row],[DATA]])</f>
        <v>9</v>
      </c>
      <c r="C18" s="1" t="s">
        <v>0</v>
      </c>
      <c r="D18" s="1" t="s">
        <v>1</v>
      </c>
      <c r="E18" s="1" t="s">
        <v>2</v>
      </c>
      <c r="F18" s="3">
        <v>5000</v>
      </c>
      <c r="G18" s="1" t="s">
        <v>3</v>
      </c>
      <c r="H18" s="1" t="s">
        <v>4</v>
      </c>
    </row>
    <row r="19" spans="1:8" x14ac:dyDescent="0.25">
      <c r="A19" s="2">
        <v>45537</v>
      </c>
      <c r="B19" s="10">
        <f>MONTH(Tabela3[[#This Row],[DATA]])</f>
        <v>9</v>
      </c>
      <c r="C19" s="1" t="s">
        <v>5</v>
      </c>
      <c r="D19" s="1" t="s">
        <v>6</v>
      </c>
      <c r="E19" s="1" t="s">
        <v>7</v>
      </c>
      <c r="F19" s="3">
        <v>450</v>
      </c>
      <c r="G19" s="1" t="s">
        <v>8</v>
      </c>
      <c r="H19" s="1" t="s">
        <v>9</v>
      </c>
    </row>
    <row r="20" spans="1:8" x14ac:dyDescent="0.25">
      <c r="A20" s="2">
        <v>45540</v>
      </c>
      <c r="B20" s="10">
        <f>MONTH(Tabela3[[#This Row],[DATA]])</f>
        <v>9</v>
      </c>
      <c r="C20" s="1" t="s">
        <v>5</v>
      </c>
      <c r="D20" s="1" t="s">
        <v>10</v>
      </c>
      <c r="E20" s="1" t="s">
        <v>11</v>
      </c>
      <c r="F20" s="3">
        <v>300</v>
      </c>
      <c r="G20" s="1" t="s">
        <v>8</v>
      </c>
      <c r="H20" s="1" t="s">
        <v>13</v>
      </c>
    </row>
    <row r="21" spans="1:8" x14ac:dyDescent="0.25">
      <c r="A21" s="2">
        <v>45543</v>
      </c>
      <c r="B21" s="10">
        <f>MONTH(Tabela3[[#This Row],[DATA]])</f>
        <v>9</v>
      </c>
      <c r="C21" s="1" t="s">
        <v>5</v>
      </c>
      <c r="D21" s="1" t="s">
        <v>14</v>
      </c>
      <c r="E21" s="1" t="s">
        <v>40</v>
      </c>
      <c r="F21" s="3">
        <v>200</v>
      </c>
      <c r="G21" s="1" t="s">
        <v>3</v>
      </c>
      <c r="H21" s="1" t="s">
        <v>13</v>
      </c>
    </row>
    <row r="22" spans="1:8" x14ac:dyDescent="0.25">
      <c r="A22" s="2">
        <v>45546</v>
      </c>
      <c r="B22" s="10">
        <f>MONTH(Tabela3[[#This Row],[DATA]])</f>
        <v>9</v>
      </c>
      <c r="C22" s="1" t="s">
        <v>5</v>
      </c>
      <c r="D22" s="1" t="s">
        <v>16</v>
      </c>
      <c r="E22" s="1" t="s">
        <v>41</v>
      </c>
      <c r="F22" s="3">
        <v>600</v>
      </c>
      <c r="G22" s="1" t="s">
        <v>8</v>
      </c>
      <c r="H22" s="1" t="s">
        <v>9</v>
      </c>
    </row>
    <row r="23" spans="1:8" x14ac:dyDescent="0.25">
      <c r="A23" s="2">
        <v>45549</v>
      </c>
      <c r="B23" s="10">
        <f>MONTH(Tabela3[[#This Row],[DATA]])</f>
        <v>9</v>
      </c>
      <c r="C23" s="1" t="s">
        <v>5</v>
      </c>
      <c r="D23" s="1" t="s">
        <v>18</v>
      </c>
      <c r="E23" s="1" t="s">
        <v>19</v>
      </c>
      <c r="F23" s="3">
        <v>350</v>
      </c>
      <c r="G23" s="1" t="s">
        <v>3</v>
      </c>
      <c r="H23" s="1" t="s">
        <v>13</v>
      </c>
    </row>
    <row r="24" spans="1:8" x14ac:dyDescent="0.25">
      <c r="A24" s="2">
        <v>45552</v>
      </c>
      <c r="B24" s="10">
        <f>MONTH(Tabela3[[#This Row],[DATA]])</f>
        <v>9</v>
      </c>
      <c r="C24" s="1" t="s">
        <v>5</v>
      </c>
      <c r="D24" s="1" t="s">
        <v>20</v>
      </c>
      <c r="E24" s="1" t="s">
        <v>42</v>
      </c>
      <c r="F24" s="3">
        <v>500</v>
      </c>
      <c r="G24" s="1" t="s">
        <v>12</v>
      </c>
      <c r="H24" s="1" t="s">
        <v>9</v>
      </c>
    </row>
    <row r="25" spans="1:8" x14ac:dyDescent="0.25">
      <c r="A25" s="2">
        <v>45555</v>
      </c>
      <c r="B25" s="10">
        <f>MONTH(Tabela3[[#This Row],[DATA]])</f>
        <v>9</v>
      </c>
      <c r="C25" s="1" t="s">
        <v>0</v>
      </c>
      <c r="D25" s="1" t="s">
        <v>43</v>
      </c>
      <c r="E25" s="1" t="s">
        <v>44</v>
      </c>
      <c r="F25" s="3">
        <v>1200</v>
      </c>
      <c r="G25" s="1" t="s">
        <v>3</v>
      </c>
      <c r="H25" s="1" t="s">
        <v>4</v>
      </c>
    </row>
    <row r="26" spans="1:8" x14ac:dyDescent="0.25">
      <c r="A26" s="2">
        <v>45555</v>
      </c>
      <c r="B26" s="10">
        <f>MONTH(Tabela3[[#This Row],[DATA]])</f>
        <v>9</v>
      </c>
      <c r="C26" s="1" t="s">
        <v>5</v>
      </c>
      <c r="D26" s="1" t="s">
        <v>24</v>
      </c>
      <c r="E26" s="1" t="s">
        <v>45</v>
      </c>
      <c r="F26" s="3">
        <v>800</v>
      </c>
      <c r="G26" s="1" t="s">
        <v>3</v>
      </c>
      <c r="H26" s="1" t="s">
        <v>13</v>
      </c>
    </row>
    <row r="27" spans="1:8" x14ac:dyDescent="0.25">
      <c r="A27" s="2">
        <v>45558</v>
      </c>
      <c r="B27" s="10">
        <f>MONTH(Tabela3[[#This Row],[DATA]])</f>
        <v>9</v>
      </c>
      <c r="C27" s="1" t="s">
        <v>5</v>
      </c>
      <c r="D27" s="1" t="s">
        <v>26</v>
      </c>
      <c r="E27" s="1" t="s">
        <v>46</v>
      </c>
      <c r="F27" s="3">
        <v>1500</v>
      </c>
      <c r="G27" s="1" t="s">
        <v>12</v>
      </c>
      <c r="H27" s="1" t="s">
        <v>9</v>
      </c>
    </row>
    <row r="28" spans="1:8" x14ac:dyDescent="0.25">
      <c r="A28" s="2">
        <v>45561</v>
      </c>
      <c r="B28" s="10">
        <f>MONTH(Tabela3[[#This Row],[DATA]])</f>
        <v>9</v>
      </c>
      <c r="C28" s="1" t="s">
        <v>5</v>
      </c>
      <c r="D28" s="1" t="s">
        <v>47</v>
      </c>
      <c r="E28" s="1" t="s">
        <v>48</v>
      </c>
      <c r="F28" s="3">
        <v>250</v>
      </c>
      <c r="G28" s="1" t="s">
        <v>8</v>
      </c>
      <c r="H28" s="1" t="s">
        <v>13</v>
      </c>
    </row>
    <row r="29" spans="1:8" x14ac:dyDescent="0.25">
      <c r="A29" s="2">
        <v>45564</v>
      </c>
      <c r="B29" s="10">
        <f>MONTH(Tabela3[[#This Row],[DATA]])</f>
        <v>9</v>
      </c>
      <c r="C29" s="1" t="s">
        <v>5</v>
      </c>
      <c r="D29" s="1" t="s">
        <v>30</v>
      </c>
      <c r="E29" s="1" t="s">
        <v>49</v>
      </c>
      <c r="F29" s="3">
        <v>400</v>
      </c>
      <c r="G29" s="1" t="s">
        <v>12</v>
      </c>
      <c r="H29" s="1" t="s">
        <v>9</v>
      </c>
    </row>
    <row r="30" spans="1:8" x14ac:dyDescent="0.25">
      <c r="A30" s="2">
        <v>45566</v>
      </c>
      <c r="B30" s="10">
        <f>MONTH(Tabela3[[#This Row],[DATA]])</f>
        <v>10</v>
      </c>
      <c r="C30" s="1" t="s">
        <v>0</v>
      </c>
      <c r="D30" s="1" t="s">
        <v>1</v>
      </c>
      <c r="E30" s="1" t="s">
        <v>2</v>
      </c>
      <c r="F30" s="3">
        <v>5000</v>
      </c>
      <c r="G30" s="1" t="s">
        <v>3</v>
      </c>
      <c r="H30" s="1" t="s">
        <v>4</v>
      </c>
    </row>
    <row r="31" spans="1:8" x14ac:dyDescent="0.25">
      <c r="A31" s="2">
        <v>45566</v>
      </c>
      <c r="B31" s="10">
        <f>MONTH(Tabela3[[#This Row],[DATA]])</f>
        <v>10</v>
      </c>
      <c r="C31" s="1" t="s">
        <v>5</v>
      </c>
      <c r="D31" s="1" t="s">
        <v>6</v>
      </c>
      <c r="E31" s="1" t="s">
        <v>7</v>
      </c>
      <c r="F31" s="3">
        <v>600</v>
      </c>
      <c r="G31" s="1" t="s">
        <v>8</v>
      </c>
      <c r="H31" s="1" t="s">
        <v>9</v>
      </c>
    </row>
    <row r="32" spans="1:8" x14ac:dyDescent="0.25">
      <c r="A32" s="2">
        <v>45568</v>
      </c>
      <c r="B32" s="10">
        <f>MONTH(Tabela3[[#This Row],[DATA]])</f>
        <v>10</v>
      </c>
      <c r="C32" s="1" t="s">
        <v>5</v>
      </c>
      <c r="D32" s="1" t="s">
        <v>10</v>
      </c>
      <c r="E32" s="1" t="s">
        <v>50</v>
      </c>
      <c r="F32" s="3">
        <v>200</v>
      </c>
      <c r="G32" s="1" t="s">
        <v>12</v>
      </c>
      <c r="H32" s="1" t="s">
        <v>13</v>
      </c>
    </row>
    <row r="33" spans="1:8" x14ac:dyDescent="0.25">
      <c r="A33" s="2">
        <v>45570</v>
      </c>
      <c r="B33" s="10">
        <f>MONTH(Tabela3[[#This Row],[DATA]])</f>
        <v>10</v>
      </c>
      <c r="C33" s="1" t="s">
        <v>5</v>
      </c>
      <c r="D33" s="1" t="s">
        <v>14</v>
      </c>
      <c r="E33" s="1" t="s">
        <v>51</v>
      </c>
      <c r="F33" s="3">
        <v>180</v>
      </c>
      <c r="G33" s="1" t="s">
        <v>3</v>
      </c>
      <c r="H33" s="1" t="s">
        <v>13</v>
      </c>
    </row>
    <row r="34" spans="1:8" x14ac:dyDescent="0.25">
      <c r="A34" s="2">
        <v>45573</v>
      </c>
      <c r="B34" s="10">
        <f>MONTH(Tabela3[[#This Row],[DATA]])</f>
        <v>10</v>
      </c>
      <c r="C34" s="1" t="s">
        <v>5</v>
      </c>
      <c r="D34" s="1" t="s">
        <v>16</v>
      </c>
      <c r="E34" s="1" t="s">
        <v>52</v>
      </c>
      <c r="F34" s="3">
        <v>120</v>
      </c>
      <c r="G34" s="1" t="s">
        <v>8</v>
      </c>
      <c r="H34" s="1" t="s">
        <v>9</v>
      </c>
    </row>
    <row r="35" spans="1:8" x14ac:dyDescent="0.25">
      <c r="A35" s="2">
        <v>45575</v>
      </c>
      <c r="B35" s="10">
        <f>MONTH(Tabela3[[#This Row],[DATA]])</f>
        <v>10</v>
      </c>
      <c r="C35" s="1" t="s">
        <v>5</v>
      </c>
      <c r="D35" s="1" t="s">
        <v>18</v>
      </c>
      <c r="E35" s="1" t="s">
        <v>53</v>
      </c>
      <c r="F35" s="3">
        <v>350</v>
      </c>
      <c r="G35" s="1" t="s">
        <v>12</v>
      </c>
      <c r="H35" s="1" t="s">
        <v>9</v>
      </c>
    </row>
    <row r="36" spans="1:8" x14ac:dyDescent="0.25">
      <c r="A36" s="2">
        <v>45578</v>
      </c>
      <c r="B36" s="10">
        <f>MONTH(Tabela3[[#This Row],[DATA]])</f>
        <v>10</v>
      </c>
      <c r="C36" s="1" t="s">
        <v>5</v>
      </c>
      <c r="D36" s="1" t="s">
        <v>20</v>
      </c>
      <c r="E36" s="1" t="s">
        <v>54</v>
      </c>
      <c r="F36" s="3">
        <v>400</v>
      </c>
      <c r="G36" s="1" t="s">
        <v>3</v>
      </c>
      <c r="H36" s="1" t="s">
        <v>13</v>
      </c>
    </row>
    <row r="37" spans="1:8" x14ac:dyDescent="0.25">
      <c r="A37" s="2">
        <v>45580</v>
      </c>
      <c r="B37" s="10">
        <f>MONTH(Tabela3[[#This Row],[DATA]])</f>
        <v>10</v>
      </c>
      <c r="C37" s="1" t="s">
        <v>5</v>
      </c>
      <c r="D37" s="1" t="s">
        <v>24</v>
      </c>
      <c r="E37" s="1" t="s">
        <v>55</v>
      </c>
      <c r="F37" s="3">
        <v>450</v>
      </c>
      <c r="G37" s="1" t="s">
        <v>8</v>
      </c>
      <c r="H37" s="1" t="s">
        <v>13</v>
      </c>
    </row>
    <row r="38" spans="1:8" x14ac:dyDescent="0.25">
      <c r="A38" s="2">
        <v>45583</v>
      </c>
      <c r="B38" s="10">
        <f>MONTH(Tabela3[[#This Row],[DATA]])</f>
        <v>10</v>
      </c>
      <c r="C38" s="1" t="s">
        <v>0</v>
      </c>
      <c r="D38" s="1" t="s">
        <v>56</v>
      </c>
      <c r="E38" s="1" t="s">
        <v>57</v>
      </c>
      <c r="F38" s="3">
        <v>1500</v>
      </c>
      <c r="G38" s="1" t="s">
        <v>3</v>
      </c>
      <c r="H38" s="1" t="s">
        <v>4</v>
      </c>
    </row>
    <row r="39" spans="1:8" x14ac:dyDescent="0.25">
      <c r="A39" s="2">
        <v>45583</v>
      </c>
      <c r="B39" s="10">
        <f>MONTH(Tabela3[[#This Row],[DATA]])</f>
        <v>10</v>
      </c>
      <c r="C39" s="1" t="s">
        <v>5</v>
      </c>
      <c r="D39" s="1" t="s">
        <v>26</v>
      </c>
      <c r="E39" s="1" t="s">
        <v>58</v>
      </c>
      <c r="F39" s="3">
        <v>300</v>
      </c>
      <c r="G39" s="1" t="s">
        <v>12</v>
      </c>
      <c r="H39" s="1" t="s">
        <v>9</v>
      </c>
    </row>
    <row r="40" spans="1:8" x14ac:dyDescent="0.25">
      <c r="A40" s="2">
        <v>45585</v>
      </c>
      <c r="B40" s="10">
        <f>MONTH(Tabela3[[#This Row],[DATA]])</f>
        <v>10</v>
      </c>
      <c r="C40" s="1" t="s">
        <v>5</v>
      </c>
      <c r="D40" s="1" t="s">
        <v>28</v>
      </c>
      <c r="E40" s="1" t="s">
        <v>59</v>
      </c>
      <c r="F40" s="3">
        <v>800</v>
      </c>
      <c r="G40" s="1" t="s">
        <v>3</v>
      </c>
      <c r="H40" s="1" t="s">
        <v>13</v>
      </c>
    </row>
    <row r="41" spans="1:8" x14ac:dyDescent="0.25">
      <c r="A41" s="2">
        <v>45587</v>
      </c>
      <c r="B41" s="10">
        <f>MONTH(Tabela3[[#This Row],[DATA]])</f>
        <v>10</v>
      </c>
      <c r="C41" s="1" t="s">
        <v>5</v>
      </c>
      <c r="D41" s="1" t="s">
        <v>30</v>
      </c>
      <c r="E41" s="1" t="s">
        <v>60</v>
      </c>
      <c r="F41" s="3">
        <v>250</v>
      </c>
      <c r="G41" s="1" t="s">
        <v>12</v>
      </c>
      <c r="H41" s="1" t="s">
        <v>9</v>
      </c>
    </row>
    <row r="42" spans="1:8" x14ac:dyDescent="0.25">
      <c r="A42" s="2">
        <v>45589</v>
      </c>
      <c r="B42" s="10">
        <f>MONTH(Tabela3[[#This Row],[DATA]])</f>
        <v>10</v>
      </c>
      <c r="C42" s="1" t="s">
        <v>5</v>
      </c>
      <c r="D42" s="1" t="s">
        <v>34</v>
      </c>
      <c r="E42" s="1" t="s">
        <v>61</v>
      </c>
      <c r="F42" s="3">
        <v>150</v>
      </c>
      <c r="G42" s="1" t="s">
        <v>8</v>
      </c>
      <c r="H42" s="1" t="s">
        <v>13</v>
      </c>
    </row>
    <row r="43" spans="1:8" x14ac:dyDescent="0.25">
      <c r="A43" s="2">
        <v>45591</v>
      </c>
      <c r="B43" s="10">
        <f>MONTH(Tabela3[[#This Row],[DATA]])</f>
        <v>10</v>
      </c>
      <c r="C43" s="1" t="s">
        <v>5</v>
      </c>
      <c r="D43" s="1" t="s">
        <v>32</v>
      </c>
      <c r="E43" s="1" t="s">
        <v>62</v>
      </c>
      <c r="F43" s="3">
        <v>250</v>
      </c>
      <c r="G43" s="1" t="s">
        <v>3</v>
      </c>
      <c r="H43" s="1" t="s">
        <v>9</v>
      </c>
    </row>
    <row r="44" spans="1:8" x14ac:dyDescent="0.25">
      <c r="A44" s="2">
        <v>45595</v>
      </c>
      <c r="B44" s="10">
        <f>MONTH(Tabela3[[#This Row],[DATA]])</f>
        <v>10</v>
      </c>
      <c r="C44" s="1" t="s">
        <v>5</v>
      </c>
      <c r="D44" s="1" t="s">
        <v>38</v>
      </c>
      <c r="E44" s="1" t="s">
        <v>63</v>
      </c>
      <c r="F44" s="3">
        <v>220</v>
      </c>
      <c r="G44" s="1" t="s">
        <v>3</v>
      </c>
      <c r="H44" s="1" t="s">
        <v>9</v>
      </c>
    </row>
    <row r="45" spans="1:8" x14ac:dyDescent="0.25">
      <c r="A45" s="2">
        <v>45596</v>
      </c>
      <c r="B45" s="10">
        <f>MONTH(Tabela3[[#This Row],[DATA]])</f>
        <v>10</v>
      </c>
      <c r="C45" s="1" t="s">
        <v>5</v>
      </c>
      <c r="D45" s="1" t="s">
        <v>36</v>
      </c>
      <c r="E45" s="1" t="s">
        <v>64</v>
      </c>
      <c r="F45" s="3">
        <v>500</v>
      </c>
      <c r="G45" s="1" t="s">
        <v>12</v>
      </c>
      <c r="H45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63CB-DD6D-479B-9BCD-227A3DF582CB}">
  <sheetPr>
    <tabColor rgb="FF00B0F0"/>
  </sheetPr>
  <dimension ref="B1:G19"/>
  <sheetViews>
    <sheetView workbookViewId="0"/>
  </sheetViews>
  <sheetFormatPr defaultRowHeight="15" x14ac:dyDescent="0.25"/>
  <cols>
    <col min="2" max="2" width="20.85546875" bestFit="1" customWidth="1"/>
    <col min="3" max="3" width="15.140625" bestFit="1" customWidth="1"/>
    <col min="6" max="6" width="18" bestFit="1" customWidth="1"/>
    <col min="7" max="7" width="15.140625" bestFit="1" customWidth="1"/>
  </cols>
  <sheetData>
    <row r="1" spans="2:7" x14ac:dyDescent="0.25">
      <c r="B1" t="s">
        <v>76</v>
      </c>
      <c r="F1" t="s">
        <v>77</v>
      </c>
    </row>
    <row r="2" spans="2:7" x14ac:dyDescent="0.25">
      <c r="B2" s="4" t="s">
        <v>67</v>
      </c>
      <c r="C2" t="s">
        <v>5</v>
      </c>
      <c r="F2" s="4" t="s">
        <v>67</v>
      </c>
      <c r="G2" t="s">
        <v>0</v>
      </c>
    </row>
    <row r="4" spans="2:7" x14ac:dyDescent="0.25">
      <c r="B4" s="4" t="s">
        <v>73</v>
      </c>
      <c r="C4" t="s">
        <v>74</v>
      </c>
      <c r="F4" s="4" t="s">
        <v>73</v>
      </c>
      <c r="G4" t="s">
        <v>74</v>
      </c>
    </row>
    <row r="5" spans="2:7" x14ac:dyDescent="0.25">
      <c r="B5" s="5" t="s">
        <v>6</v>
      </c>
      <c r="C5" s="6">
        <v>550</v>
      </c>
      <c r="F5" t="s">
        <v>22</v>
      </c>
      <c r="G5" s="6">
        <v>800</v>
      </c>
    </row>
    <row r="6" spans="2:7" x14ac:dyDescent="0.25">
      <c r="B6" s="5" t="s">
        <v>32</v>
      </c>
      <c r="C6" s="6">
        <v>80</v>
      </c>
      <c r="F6" t="s">
        <v>1</v>
      </c>
      <c r="G6" s="6">
        <v>5000</v>
      </c>
    </row>
    <row r="7" spans="2:7" x14ac:dyDescent="0.25">
      <c r="B7" s="5" t="s">
        <v>18</v>
      </c>
      <c r="C7" s="6">
        <v>400</v>
      </c>
      <c r="F7" t="s">
        <v>75</v>
      </c>
      <c r="G7" s="6">
        <v>5800</v>
      </c>
    </row>
    <row r="8" spans="2:7" x14ac:dyDescent="0.25">
      <c r="B8" s="5" t="s">
        <v>26</v>
      </c>
      <c r="C8" s="6">
        <v>1200</v>
      </c>
    </row>
    <row r="9" spans="2:7" x14ac:dyDescent="0.25">
      <c r="B9" s="5" t="s">
        <v>38</v>
      </c>
      <c r="C9" s="6">
        <v>350</v>
      </c>
    </row>
    <row r="10" spans="2:7" x14ac:dyDescent="0.25">
      <c r="B10" s="5" t="s">
        <v>14</v>
      </c>
      <c r="C10" s="6">
        <v>120</v>
      </c>
    </row>
    <row r="11" spans="2:7" x14ac:dyDescent="0.25">
      <c r="B11" s="5" t="s">
        <v>34</v>
      </c>
      <c r="C11" s="6">
        <v>200</v>
      </c>
    </row>
    <row r="12" spans="2:7" x14ac:dyDescent="0.25">
      <c r="B12" s="5" t="s">
        <v>30</v>
      </c>
      <c r="C12" s="6">
        <v>180</v>
      </c>
    </row>
    <row r="13" spans="2:7" x14ac:dyDescent="0.25">
      <c r="B13" s="5" t="s">
        <v>16</v>
      </c>
      <c r="C13" s="6">
        <v>250</v>
      </c>
    </row>
    <row r="14" spans="2:7" x14ac:dyDescent="0.25">
      <c r="B14" s="5" t="s">
        <v>24</v>
      </c>
      <c r="C14" s="6">
        <v>150</v>
      </c>
    </row>
    <row r="15" spans="2:7" x14ac:dyDescent="0.25">
      <c r="B15" s="5" t="s">
        <v>10</v>
      </c>
      <c r="C15" s="6">
        <v>300</v>
      </c>
    </row>
    <row r="16" spans="2:7" x14ac:dyDescent="0.25">
      <c r="B16" s="5" t="s">
        <v>28</v>
      </c>
      <c r="C16" s="6">
        <v>450</v>
      </c>
    </row>
    <row r="17" spans="2:3" x14ac:dyDescent="0.25">
      <c r="B17" s="5" t="s">
        <v>20</v>
      </c>
      <c r="C17" s="6">
        <v>600</v>
      </c>
    </row>
    <row r="18" spans="2:3" x14ac:dyDescent="0.25">
      <c r="B18" s="5" t="s">
        <v>36</v>
      </c>
      <c r="C18" s="6">
        <v>750</v>
      </c>
    </row>
    <row r="19" spans="2:3" x14ac:dyDescent="0.25">
      <c r="B19" s="5" t="s">
        <v>75</v>
      </c>
      <c r="C19" s="6">
        <v>5580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48E4-A5BE-4240-9C3B-AE0DABD70861}">
  <sheetPr>
    <tabColor rgb="FF00B0F0"/>
  </sheetPr>
  <dimension ref="A1:U18"/>
  <sheetViews>
    <sheetView showGridLines="0" workbookViewId="0"/>
  </sheetViews>
  <sheetFormatPr defaultColWidth="0" defaultRowHeight="15" x14ac:dyDescent="0.25"/>
  <cols>
    <col min="1" max="2" width="9.140625" customWidth="1"/>
    <col min="3" max="3" width="21" style="1" customWidth="1"/>
    <col min="4" max="4" width="20.85546875" style="1" customWidth="1"/>
    <col min="5" max="21" width="9.140625" customWidth="1"/>
    <col min="22" max="16384" width="9.140625" hidden="1"/>
  </cols>
  <sheetData>
    <row r="1" spans="1:21" ht="32.25" customHeight="1" x14ac:dyDescent="0.25">
      <c r="A1" s="9"/>
      <c r="B1" s="9"/>
      <c r="C1" s="12"/>
      <c r="D1" s="12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3" spans="1:21" x14ac:dyDescent="0.25">
      <c r="C3" s="16" t="s">
        <v>82</v>
      </c>
      <c r="D3" s="15">
        <f>SUM(Tabela5[Depósito Reservado])</f>
        <v>4662</v>
      </c>
    </row>
    <row r="4" spans="1:21" x14ac:dyDescent="0.25">
      <c r="C4" s="16" t="s">
        <v>83</v>
      </c>
      <c r="D4" s="3">
        <v>20000</v>
      </c>
    </row>
    <row r="6" spans="1:21" x14ac:dyDescent="0.25">
      <c r="C6" s="13" t="s">
        <v>79</v>
      </c>
      <c r="D6" s="13" t="s">
        <v>80</v>
      </c>
    </row>
    <row r="7" spans="1:21" x14ac:dyDescent="0.25">
      <c r="C7" s="2">
        <v>45603</v>
      </c>
      <c r="D7" s="3">
        <v>450</v>
      </c>
    </row>
    <row r="8" spans="1:21" x14ac:dyDescent="0.25">
      <c r="C8" s="2">
        <v>45604</v>
      </c>
      <c r="D8" s="3">
        <v>352</v>
      </c>
    </row>
    <row r="9" spans="1:21" x14ac:dyDescent="0.25">
      <c r="C9" s="2">
        <v>45605</v>
      </c>
      <c r="D9" s="3">
        <v>140</v>
      </c>
    </row>
    <row r="10" spans="1:21" x14ac:dyDescent="0.25">
      <c r="C10" s="2">
        <v>45606</v>
      </c>
      <c r="D10" s="3">
        <v>474</v>
      </c>
    </row>
    <row r="11" spans="1:21" x14ac:dyDescent="0.25">
      <c r="C11" s="2">
        <v>45607</v>
      </c>
      <c r="D11" s="3">
        <v>30</v>
      </c>
      <c r="J11" s="14" t="s">
        <v>81</v>
      </c>
    </row>
    <row r="12" spans="1:21" x14ac:dyDescent="0.25">
      <c r="C12" s="2">
        <v>45608</v>
      </c>
      <c r="D12" s="3">
        <v>614</v>
      </c>
    </row>
    <row r="13" spans="1:21" x14ac:dyDescent="0.25">
      <c r="C13" s="2">
        <v>45609</v>
      </c>
      <c r="D13" s="3">
        <v>345</v>
      </c>
    </row>
    <row r="14" spans="1:21" x14ac:dyDescent="0.25">
      <c r="C14" s="2">
        <v>45610</v>
      </c>
      <c r="D14" s="3">
        <v>366</v>
      </c>
    </row>
    <row r="15" spans="1:21" x14ac:dyDescent="0.25">
      <c r="C15" s="2">
        <v>45611</v>
      </c>
      <c r="D15" s="3">
        <v>485</v>
      </c>
    </row>
    <row r="16" spans="1:21" x14ac:dyDescent="0.25">
      <c r="C16" s="2">
        <v>45612</v>
      </c>
      <c r="D16" s="3">
        <v>489</v>
      </c>
    </row>
    <row r="17" spans="3:4" x14ac:dyDescent="0.25">
      <c r="C17" s="2">
        <v>45613</v>
      </c>
      <c r="D17" s="3">
        <v>434</v>
      </c>
    </row>
    <row r="18" spans="3:4" x14ac:dyDescent="0.25">
      <c r="C18" s="2">
        <v>45614</v>
      </c>
      <c r="D18" s="3">
        <v>483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F9EE-A63A-4772-9AA9-A862DCB2FAF8}">
  <dimension ref="A1:U1"/>
  <sheetViews>
    <sheetView showGridLines="0" showRowColHeaders="0" tabSelected="1" zoomScale="80" zoomScaleNormal="80" workbookViewId="0">
      <selection activeCell="G40" sqref="G40"/>
    </sheetView>
  </sheetViews>
  <sheetFormatPr defaultColWidth="0" defaultRowHeight="15" x14ac:dyDescent="0.25"/>
  <cols>
    <col min="1" max="1" width="26.28515625" style="11" customWidth="1"/>
    <col min="2" max="2" width="8.7109375" style="8" customWidth="1"/>
    <col min="3" max="21" width="9.140625" style="8" customWidth="1"/>
    <col min="22" max="16384" width="9.140625" style="8" hidden="1"/>
  </cols>
  <sheetData>
    <row r="1" ht="71.25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3D8E4-1D6C-4FCF-8D1D-F56D49A3BA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D9E30B-54D8-4CE8-A6E5-E0A6CC213332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51DA261A-E008-49B4-91DC-52FE5A9143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Controler</vt:lpstr>
      <vt:lpstr>Caixinha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>JAQUE</cp:lastModifiedBy>
  <cp:revision/>
  <dcterms:created xsi:type="dcterms:W3CDTF">2015-06-05T18:19:34Z</dcterms:created>
  <dcterms:modified xsi:type="dcterms:W3CDTF">2024-12-29T18:21:36Z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